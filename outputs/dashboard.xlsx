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ases" sheetId="2" state="visible"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1"/>
    </font>
    <font>
      <name val="Arial"/>
      <sz val="11"/>
    </font>
    <font>
      <name val="Arial"/>
      <b val="1"/>
      <color rgb="001F4E78"/>
      <sz val="16"/>
    </font>
    <font>
      <name val="Arial"/>
      <i val="1"/>
      <color rgb="00595959"/>
      <sz val="10"/>
    </font>
    <font>
      <name val="Arial"/>
      <b val="1"/>
      <sz val="1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0" pivotButton="0" quotePrefix="0" xfId="0"/>
    <xf numFmtId="0" fontId="2" fillId="0" borderId="0" pivotButton="0" quotePrefix="0" xfId="0"/>
    <xf numFmtId="164" fontId="2" fillId="0" borderId="0" pivotButton="0" quotePrefix="0" xfId="0"/>
    <xf numFmtId="0" fontId="1" fillId="2" borderId="0" applyAlignment="1" pivotButton="0" quotePrefix="0" xfId="0">
      <alignment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Cases by Issue Type</a:t>
            </a:r>
          </a:p>
        </rich>
      </tx>
    </title>
    <plotArea>
      <barChart>
        <barDir val="col"/>
        <grouping val="clustered"/>
        <ser>
          <idx val="0"/>
          <order val="0"/>
          <tx>
            <strRef>
              <f>'Dashboard'!C6</f>
            </strRef>
          </tx>
          <spPr>
            <a:ln xmlns:a="http://schemas.openxmlformats.org/drawingml/2006/main">
              <a:prstDash val="solid"/>
            </a:ln>
          </spPr>
          <cat>
            <numRef>
              <f>'Dashboard'!$B$7:$B$14</f>
            </numRef>
          </cat>
          <val>
            <numRef>
              <f>'Dashboard'!$C$7:$C$14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Cases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Cases by Severity</a:t>
            </a:r>
          </a:p>
        </rich>
      </tx>
    </title>
    <plotArea>
      <pieChart>
        <varyColors val="1"/>
        <ser>
          <idx val="0"/>
          <order val="0"/>
          <tx>
            <strRef>
              <f>'Dashboard'!G6</f>
            </strRef>
          </tx>
          <spPr>
            <a:ln xmlns:a="http://schemas.openxmlformats.org/drawingml/2006/main">
              <a:prstDash val="solid"/>
            </a:ln>
          </spPr>
          <cat>
            <numRef>
              <f>'Dashboard'!$F$7:$F$10</f>
            </numRef>
          </cat>
          <val>
            <numRef>
              <f>'Dashboard'!$G$7:$G$10</f>
            </numRef>
          </val>
        </ser>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AI vs Human Review Outcome</a:t>
            </a:r>
          </a:p>
        </rich>
      </tx>
    </title>
    <plotArea>
      <barChart>
        <barDir val="col"/>
        <grouping val="clustered"/>
        <ser>
          <idx val="0"/>
          <order val="0"/>
          <tx>
            <strRef>
              <f>'Dashboard'!C17</f>
            </strRef>
          </tx>
          <spPr>
            <a:ln xmlns:a="http://schemas.openxmlformats.org/drawingml/2006/main">
              <a:prstDash val="solid"/>
            </a:ln>
          </spPr>
          <cat>
            <numRef>
              <f>'Dashboard'!$B$18:$B$20</f>
            </numRef>
          </cat>
          <val>
            <numRef>
              <f>'Dashboard'!$C$18:$C$20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Cases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8</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21</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16</col>
      <colOff>0</colOff>
      <row>4</row>
      <rowOff>0</rowOff>
    </from>
    <ext cx="43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G24"/>
  <sheetViews>
    <sheetView showGridLines="0" workbookViewId="0">
      <selection activeCell="A1" sqref="A1"/>
    </sheetView>
  </sheetViews>
  <sheetFormatPr baseColWidth="8" defaultRowHeight="15"/>
  <cols>
    <col width="2" customWidth="1" min="1" max="1"/>
    <col width="34" customWidth="1" min="2" max="2"/>
    <col width="10" customWidth="1" min="3" max="3"/>
    <col width="4" customWidth="1" min="4" max="4"/>
    <col width="4" customWidth="1" min="5" max="5"/>
    <col width="12" customWidth="1" min="6" max="6"/>
    <col width="10" customWidth="1" min="7" max="7"/>
  </cols>
  <sheetData>
    <row r="2">
      <c r="B2" s="1" t="inlineStr">
        <is>
          <t>NetSage AI — Case Dashboard</t>
        </is>
      </c>
    </row>
    <row r="3">
      <c r="B3" s="2" t="inlineStr">
        <is>
          <t>Auto-calculated from the Cases and Review sheets — edit those tabs and this recalculates.</t>
        </is>
      </c>
    </row>
    <row r="5">
      <c r="B5" s="3" t="inlineStr">
        <is>
          <t>Cases by Issue Type</t>
        </is>
      </c>
      <c r="F5" s="3" t="inlineStr">
        <is>
          <t>Cases by Severity</t>
        </is>
      </c>
    </row>
    <row r="6">
      <c r="B6" s="4" t="inlineStr">
        <is>
          <t>Category</t>
        </is>
      </c>
      <c r="C6" s="4" t="inlineStr">
        <is>
          <t>Count</t>
        </is>
      </c>
      <c r="F6" s="4" t="inlineStr">
        <is>
          <t>Severity</t>
        </is>
      </c>
      <c r="G6" s="4" t="inlineStr">
        <is>
          <t>Count</t>
        </is>
      </c>
    </row>
    <row r="7">
      <c r="B7" s="5" t="inlineStr">
        <is>
          <t>ACL</t>
        </is>
      </c>
      <c r="C7" s="5">
        <f>COUNTIF(Cases!$B$2:$B$31,B7)</f>
        <v/>
      </c>
      <c r="F7" s="5" t="inlineStr">
        <is>
          <t>Critical</t>
        </is>
      </c>
      <c r="G7" s="5">
        <f>COUNTIF(Cases!$F$2:$F$31,F7)</f>
        <v/>
      </c>
    </row>
    <row r="8">
      <c r="B8" s="5" t="inlineStr">
        <is>
          <t>DHCP</t>
        </is>
      </c>
      <c r="C8" s="5">
        <f>COUNTIF(Cases!$B$2:$B$31,B8)</f>
        <v/>
      </c>
      <c r="F8" s="5" t="inlineStr">
        <is>
          <t>High</t>
        </is>
      </c>
      <c r="G8" s="5">
        <f>COUNTIF(Cases!$F$2:$F$31,F8)</f>
        <v/>
      </c>
    </row>
    <row r="9">
      <c r="B9" s="5" t="inlineStr">
        <is>
          <t>DNS</t>
        </is>
      </c>
      <c r="C9" s="5">
        <f>COUNTIF(Cases!$B$2:$B$31,B9)</f>
        <v/>
      </c>
      <c r="F9" s="5" t="inlineStr">
        <is>
          <t>Medium</t>
        </is>
      </c>
      <c r="G9" s="5">
        <f>COUNTIF(Cases!$F$2:$F$31,F9)</f>
        <v/>
      </c>
    </row>
    <row r="10">
      <c r="B10" s="5" t="inlineStr">
        <is>
          <t>Gateway</t>
        </is>
      </c>
      <c r="C10" s="5">
        <f>COUNTIF(Cases!$B$2:$B$31,B10)</f>
        <v/>
      </c>
      <c r="F10" s="5" t="inlineStr">
        <is>
          <t>Low</t>
        </is>
      </c>
      <c r="G10" s="5">
        <f>COUNTIF(Cases!$F$2:$F$31,F10)</f>
        <v/>
      </c>
    </row>
    <row r="11">
      <c r="B11" s="5" t="inlineStr">
        <is>
          <t>NAT</t>
        </is>
      </c>
      <c r="C11" s="5">
        <f>COUNTIF(Cases!$B$2:$B$31,B11)</f>
        <v/>
      </c>
    </row>
    <row r="12">
      <c r="B12" s="5" t="inlineStr">
        <is>
          <t>Routing</t>
        </is>
      </c>
      <c r="C12" s="5">
        <f>COUNTIF(Cases!$B$2:$B$31,B12)</f>
        <v/>
      </c>
    </row>
    <row r="13">
      <c r="B13" s="5" t="inlineStr">
        <is>
          <t>VLAN</t>
        </is>
      </c>
      <c r="C13" s="5">
        <f>COUNTIF(Cases!$B$2:$B$31,B13)</f>
        <v/>
      </c>
    </row>
    <row r="14">
      <c r="B14" s="5" t="inlineStr">
        <is>
          <t>Wireless</t>
        </is>
      </c>
      <c r="C14" s="5">
        <f>COUNTIF(Cases!$B$2:$B$31,B14)</f>
        <v/>
      </c>
    </row>
    <row r="16">
      <c r="B16" s="3" t="inlineStr">
        <is>
          <t>AI vs Human Review Outcome</t>
        </is>
      </c>
    </row>
    <row r="17">
      <c r="B17" s="4" t="inlineStr">
        <is>
          <t>Verdict</t>
        </is>
      </c>
      <c r="C17" s="4" t="inlineStr">
        <is>
          <t>Count</t>
        </is>
      </c>
    </row>
    <row r="18">
      <c r="B18" s="5" t="inlineStr">
        <is>
          <t>Accepted</t>
        </is>
      </c>
      <c r="C18" s="5">
        <f>COUNTIF(Review!$D$2:$D$31,B18)</f>
        <v/>
      </c>
    </row>
    <row r="19">
      <c r="B19" s="5" t="inlineStr">
        <is>
          <t>Edited</t>
        </is>
      </c>
      <c r="C19" s="5">
        <f>COUNTIF(Review!$D$2:$D$31,B19)</f>
        <v/>
      </c>
    </row>
    <row r="20">
      <c r="B20" s="5" t="inlineStr">
        <is>
          <t>Rejected</t>
        </is>
      </c>
      <c r="C20" s="5">
        <f>COUNTIF(Review!$D$2:$D$31,B20)</f>
        <v/>
      </c>
    </row>
    <row r="22">
      <c r="B22" s="3" t="inlineStr">
        <is>
          <t>Total cases:</t>
        </is>
      </c>
      <c r="C22" s="5">
        <f>COUNTA(Cases!$A$2:$A$31)</f>
        <v/>
      </c>
    </row>
    <row r="23">
      <c r="B23" s="3" t="inlineStr">
        <is>
          <t>AI agreement rate (Accepted / Total):</t>
        </is>
      </c>
      <c r="C23" s="6">
        <f>C18/SUM(C18:C20)</f>
        <v/>
      </c>
    </row>
    <row r="24">
      <c r="B24" s="3" t="inlineStr">
        <is>
          <t>Cases needing correction (Edited + Rejected):</t>
        </is>
      </c>
      <c r="C24" s="5">
        <f>SUM(C19:C20)</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5" customWidth="1" min="3" max="3"/>
    <col width="60" customWidth="1" min="4" max="4"/>
    <col width="12" customWidth="1" min="5" max="5"/>
    <col width="10" customWidth="1" min="6" max="6"/>
  </cols>
  <sheetData>
    <row r="1">
      <c r="A1" s="7" t="inlineStr">
        <is>
          <t>case_id</t>
        </is>
      </c>
      <c r="B1" s="7" t="inlineStr">
        <is>
          <t>category</t>
        </is>
      </c>
      <c r="C1" s="7" t="inlineStr">
        <is>
          <t>symptom</t>
        </is>
      </c>
      <c r="D1" s="7" t="inlineStr">
        <is>
          <t>expected_fault</t>
        </is>
      </c>
      <c r="E1" s="7" t="inlineStr">
        <is>
          <t>osi_layer</t>
        </is>
      </c>
      <c r="F1" s="7" t="inlineStr">
        <is>
          <t>severity</t>
        </is>
      </c>
    </row>
    <row r="2">
      <c r="A2" s="8" t="inlineStr">
        <is>
          <t>C001</t>
        </is>
      </c>
      <c r="B2" s="8" t="inlineStr">
        <is>
          <t>VLAN</t>
        </is>
      </c>
      <c r="C2" s="8" t="inlineStr">
        <is>
          <t>PC in VLAN 10 cannot reach PC in VLAN 10 on the next switch; both are in the same subnet.</t>
        </is>
      </c>
      <c r="D2" s="8" t="inlineStr">
        <is>
          <t>VLAN 10 is missing from the allowed-vlan list on the SW1 trunk (Gi0/1 allows 1-9,11-4094, excluding 10), so VLAN 10 traffic is dropped at the trunk.</t>
        </is>
      </c>
      <c r="E2" s="8" t="inlineStr">
        <is>
          <t>Layer 2</t>
        </is>
      </c>
      <c r="F2" s="8" t="inlineStr">
        <is>
          <t>High</t>
        </is>
      </c>
    </row>
    <row r="3">
      <c r="A3" s="8" t="inlineStr">
        <is>
          <t>C002</t>
        </is>
      </c>
      <c r="B3" s="8" t="inlineStr">
        <is>
          <t>VLAN</t>
        </is>
      </c>
      <c r="C3" s="8" t="inlineStr">
        <is>
          <t>New PC plugged into Fa0/3 on SW1 gets no response from DHCP server and cannot ping anything, including its own gateway.</t>
        </is>
      </c>
      <c r="D3" s="8" t="inlineStr">
        <is>
          <t>Fa0/3 was never assigned to VLAN 20; it is still sitting in the default VLAN 1, so the PC is on the wrong broadcast domain and cannot reach the VLAN 20 DHCP scope or gateway.</t>
        </is>
      </c>
      <c r="E3" s="8" t="inlineStr">
        <is>
          <t>Layer 2</t>
        </is>
      </c>
      <c r="F3" s="8" t="inlineStr">
        <is>
          <t>High</t>
        </is>
      </c>
    </row>
    <row r="4">
      <c r="A4" s="8" t="inlineStr">
        <is>
          <t>C003</t>
        </is>
      </c>
      <c r="B4" s="8" t="inlineStr">
        <is>
          <t>VLAN</t>
        </is>
      </c>
      <c r="C4" s="8" t="inlineStr">
        <is>
          <t>Phones and PCs on the same switch intermittently lose connectivity to the file server; packet captures show occasional untagged frames arriving on the wrong VLAN.</t>
        </is>
      </c>
      <c r="D4" s="8" t="inlineStr">
        <is>
          <t>Native VLAN mismatch on the trunk: SW1 uses native VLAN 15 while the core switch uses native VLAN 1, causing VLAN leaking/tag corruption for untagged frames.</t>
        </is>
      </c>
      <c r="E4" s="8" t="inlineStr">
        <is>
          <t>Layer 2</t>
        </is>
      </c>
      <c r="F4" s="8" t="inlineStr">
        <is>
          <t>Medium</t>
        </is>
      </c>
    </row>
    <row r="5">
      <c r="A5" s="8" t="inlineStr">
        <is>
          <t>C004</t>
        </is>
      </c>
      <c r="B5" s="8" t="inlineStr">
        <is>
          <t>VLAN</t>
        </is>
      </c>
      <c r="C5" s="8" t="inlineStr">
        <is>
          <t>A PC moved from the Sales VLAN to the Guest VLAN still shows up with a Sales-subnet IP address after reboot.</t>
        </is>
      </c>
      <c r="D5" s="8" t="inlineStr">
        <is>
          <t>The port is correctly in VLAN 30, but the PC never released/renewed its old VLAN 10 (192.168.10.x) DHCP lease, so a stale lease is the likely cause rather than a switchport misconfig -- confirm with 'ipconfig /release &amp;&amp; ipconfig /renew' before assuming a VLAN fault.</t>
        </is>
      </c>
      <c r="E5" s="8" t="inlineStr">
        <is>
          <t>Layer 2/3</t>
        </is>
      </c>
      <c r="F5" s="8" t="inlineStr">
        <is>
          <t>Low</t>
        </is>
      </c>
    </row>
    <row r="6">
      <c r="A6" s="8" t="inlineStr">
        <is>
          <t>C005</t>
        </is>
      </c>
      <c r="B6" s="8" t="inlineStr">
        <is>
          <t>Gateway</t>
        </is>
      </c>
      <c r="C6" s="8" t="inlineStr">
        <is>
          <t>PC has a valid IP in the correct subnet but cannot ping anything outside its own subnet, including the gateway.</t>
        </is>
      </c>
      <c r="D6" s="8" t="inlineStr">
        <is>
          <t>Default gateway configured on the PC (192.168.1.254) does not match the router's actual interface IP (192.168.1.1); the PC is pointing at a nonexistent gateway.</t>
        </is>
      </c>
      <c r="E6" s="8" t="inlineStr">
        <is>
          <t>Layer 3</t>
        </is>
      </c>
      <c r="F6" s="8" t="inlineStr">
        <is>
          <t>High</t>
        </is>
      </c>
    </row>
    <row r="7">
      <c r="A7" s="8" t="inlineStr">
        <is>
          <t>C006</t>
        </is>
      </c>
      <c r="B7" s="8" t="inlineStr">
        <is>
          <t>Gateway</t>
        </is>
      </c>
      <c r="C7" s="8" t="inlineStr">
        <is>
          <t>All PCs on VLAN 40 lost internet access at the same time; local VLAN 40 traffic still works fine.</t>
        </is>
      </c>
      <c r="D7" s="8" t="inlineStr">
        <is>
          <t>Subinterface G0/1.40, which acts as the VLAN 40 gateway, is administratively shut down.</t>
        </is>
      </c>
      <c r="E7" s="8" t="inlineStr">
        <is>
          <t>Layer 3</t>
        </is>
      </c>
      <c r="F7" s="8" t="inlineStr">
        <is>
          <t>Critical</t>
        </is>
      </c>
    </row>
    <row r="8">
      <c r="A8" s="8" t="inlineStr">
        <is>
          <t>C007</t>
        </is>
      </c>
      <c r="B8" s="8" t="inlineStr">
        <is>
          <t>Gateway</t>
        </is>
      </c>
      <c r="C8" s="8" t="inlineStr">
        <is>
          <t>Two PCs on the same subnet can reach each other but only one of them can reach the internet.</t>
        </is>
      </c>
      <c r="D8" s="8" t="inlineStr">
        <is>
          <t>PC-B has the wrong default gateway (192.168.5.2) manually configured; 192.168.5.1 is the real router interface, so PC-B's traffic to other subnets has nowhere to go.</t>
        </is>
      </c>
      <c r="E8" s="8" t="inlineStr">
        <is>
          <t>Layer 3</t>
        </is>
      </c>
      <c r="F8" s="8" t="inlineStr">
        <is>
          <t>Medium</t>
        </is>
      </c>
    </row>
    <row r="9">
      <c r="A9" s="8" t="inlineStr">
        <is>
          <t>C008</t>
        </is>
      </c>
      <c r="B9" s="8" t="inlineStr">
        <is>
          <t>Gateway</t>
        </is>
      </c>
      <c r="C9" s="8" t="inlineStr">
        <is>
          <t>After a switch replacement, an entire VLAN lost gateway reachability even though the router config was untouched.</t>
        </is>
      </c>
      <c r="D9" s="8" t="inlineStr">
        <is>
          <t>The router interface itself is fine, but the switch port connecting the router to VLAN 5 was provisioned in VLAN 1 on the replacement switch, isolating the gateway from the rest of VLAN 5 -- a VLAN issue masquerading as a gateway issue.</t>
        </is>
      </c>
      <c r="E9" s="8" t="inlineStr">
        <is>
          <t>Layer 2/3</t>
        </is>
      </c>
      <c r="F9" s="8" t="inlineStr">
        <is>
          <t>High</t>
        </is>
      </c>
    </row>
    <row r="10">
      <c r="A10" s="8" t="inlineStr">
        <is>
          <t>C009</t>
        </is>
      </c>
      <c r="B10" s="8" t="inlineStr">
        <is>
          <t>DHCP</t>
        </is>
      </c>
      <c r="C10" s="8" t="inlineStr">
        <is>
          <t>New devices stop receiving IP addresses during busy hours; existing leases still work.</t>
        </is>
      </c>
      <c r="D10" s="8" t="inlineStr">
        <is>
          <t>DHCP pool SALES is fully exhausted (254 leased of 254 total addresses), so new clients cannot obtain a lease.</t>
        </is>
      </c>
      <c r="E10" s="8" t="inlineStr">
        <is>
          <t>Layer 3/7</t>
        </is>
      </c>
      <c r="F10" s="8" t="inlineStr">
        <is>
          <t>High</t>
        </is>
      </c>
    </row>
    <row r="11">
      <c r="A11" s="8" t="inlineStr">
        <is>
          <t>C010</t>
        </is>
      </c>
      <c r="B11" s="8" t="inlineStr">
        <is>
          <t>DHCP</t>
        </is>
      </c>
      <c r="C11" s="8" t="inlineStr">
        <is>
          <t>New PCs get an IP address but it does not match the rest of the subnet and they cannot communicate with anyone.</t>
        </is>
      </c>
      <c r="D11" s="8" t="inlineStr">
        <is>
          <t>The DHCP pool is configured with a /25 mask (255.255.255.128) instead of the intended /24, so some clients receive addresses in the second /25 half (192.168.20.130) that cannot reach hosts or the gateway in the first half.</t>
        </is>
      </c>
      <c r="E11" s="8" t="inlineStr">
        <is>
          <t>Layer 3</t>
        </is>
      </c>
      <c r="F11" s="8" t="inlineStr">
        <is>
          <t>Medium</t>
        </is>
      </c>
    </row>
    <row r="12">
      <c r="A12" s="8" t="inlineStr">
        <is>
          <t>C011</t>
        </is>
      </c>
      <c r="B12" s="8" t="inlineStr">
        <is>
          <t>DHCP</t>
        </is>
      </c>
      <c r="C12" s="8" t="inlineStr">
        <is>
          <t>PCs on a remote VLAN reachable only through the router never receive an IP address from the central DHCP server; local VLAN clients are fine.</t>
        </is>
      </c>
      <c r="D12" s="8" t="inlineStr">
        <is>
          <t>No 'ip helper-address' is configured on the VLAN 50 interface, so DHCP broadcasts from that subnet are never relayed to the central DHCP server across the router boundary.</t>
        </is>
      </c>
      <c r="E12" s="8" t="inlineStr">
        <is>
          <t>Layer 3</t>
        </is>
      </c>
      <c r="F12" s="8" t="inlineStr">
        <is>
          <t>High</t>
        </is>
      </c>
    </row>
    <row r="13">
      <c r="A13" s="8" t="inlineStr">
        <is>
          <t>C012</t>
        </is>
      </c>
      <c r="B13" s="8" t="inlineStr">
        <is>
          <t>DHCP</t>
        </is>
      </c>
      <c r="C13" s="8" t="inlineStr">
        <is>
          <t>A handful of specific addresses that should be reserved for printers keep getting handed out to laptops.</t>
        </is>
      </c>
      <c r="D13" s="8" t="inlineStr">
        <is>
          <t>The excluded-address range only covers 192.168.30.1-10; the printer range 192.168.30.240-250 was never excluded, so the DHCP pool is free to lease those addresses to any client.</t>
        </is>
      </c>
      <c r="E13" s="8" t="inlineStr">
        <is>
          <t>Layer 3</t>
        </is>
      </c>
      <c r="F13" s="8" t="inlineStr">
        <is>
          <t>Low</t>
        </is>
      </c>
    </row>
    <row r="14">
      <c r="A14" s="8" t="inlineStr">
        <is>
          <t>C013</t>
        </is>
      </c>
      <c r="B14" s="8" t="inlineStr">
        <is>
          <t>DNS</t>
        </is>
      </c>
      <c r="C14" s="8" t="inlineStr">
        <is>
          <t>Users can ping IP addresses on the internet but cannot browse to any website by name.</t>
        </is>
      </c>
      <c r="D14" s="8" t="inlineStr">
        <is>
          <t>The configured DNS server (172.16.1.99) does not respond to ping/queries -- it is either the wrong address or the DNS service is down; name resolution fails while IP connectivity works fine (classic Layer 7 symptom on top of working Layer 3).</t>
        </is>
      </c>
      <c r="E14" s="8" t="inlineStr">
        <is>
          <t>Layer 7</t>
        </is>
      </c>
      <c r="F14" s="8" t="inlineStr">
        <is>
          <t>Medium</t>
        </is>
      </c>
    </row>
    <row r="15">
      <c r="A15" s="8" t="inlineStr">
        <is>
          <t>C014</t>
        </is>
      </c>
      <c r="B15" s="8" t="inlineStr">
        <is>
          <t>DNS</t>
        </is>
      </c>
      <c r="C15" s="8" t="inlineStr">
        <is>
          <t>One department can resolve internal hostnames but gets 'server not found' for external websites.</t>
        </is>
      </c>
      <c r="D15" s="8" t="inlineStr">
        <is>
          <t>The internal DNS server has no forwarder configured for external queries, so it can resolve internal records but returns NXDOMAIN for anything outside its own zone.</t>
        </is>
      </c>
      <c r="E15" s="8" t="inlineStr">
        <is>
          <t>Layer 7</t>
        </is>
      </c>
      <c r="F15" s="8" t="inlineStr">
        <is>
          <t>Medium</t>
        </is>
      </c>
    </row>
    <row r="16">
      <c r="A16" s="8" t="inlineStr">
        <is>
          <t>C015</t>
        </is>
      </c>
      <c r="B16" s="8" t="inlineStr">
        <is>
          <t>DNS</t>
        </is>
      </c>
      <c r="C16" s="8" t="inlineStr">
        <is>
          <t>Employees report the intranet site loads a completely different (old) server's content since yesterday's migration.</t>
        </is>
      </c>
      <c r="D16" s="8" t="inlineStr">
        <is>
          <t>The DNS A record for intranet.company.local still points to the old server IP (10.1.1.50) instead of the migrated server (10.1.1.80); the record was never updated after the migration.</t>
        </is>
      </c>
      <c r="E16" s="8" t="inlineStr">
        <is>
          <t>Layer 7</t>
        </is>
      </c>
      <c r="F16" s="8" t="inlineStr">
        <is>
          <t>Medium</t>
        </is>
      </c>
    </row>
    <row r="17">
      <c r="A17" s="8" t="inlineStr">
        <is>
          <t>C016</t>
        </is>
      </c>
      <c r="B17" s="8" t="inlineStr">
        <is>
          <t>DNS</t>
        </is>
      </c>
      <c r="C17" s="8" t="inlineStr">
        <is>
          <t>Half the office can reach the ERP system by name, the other half gets 'page not found' even though both groups are on the same VLAN.</t>
        </is>
      </c>
      <c r="D17" s="8" t="inlineStr">
        <is>
          <t>PC-B is pointed at 10.10.1.11, a DNS server that is not authoritative for (and has no record of) the internal zone, while PC-A's server 10.10.1.10 does -- inconsistent client DNS configuration, not a server-wide outage.</t>
        </is>
      </c>
      <c r="E17" s="8" t="inlineStr">
        <is>
          <t>Layer 7</t>
        </is>
      </c>
      <c r="F17" s="8" t="inlineStr">
        <is>
          <t>Low</t>
        </is>
      </c>
    </row>
    <row r="18">
      <c r="A18" s="8" t="inlineStr">
        <is>
          <t>C017</t>
        </is>
      </c>
      <c r="B18" s="8" t="inlineStr">
        <is>
          <t>Routing</t>
        </is>
      </c>
      <c r="C18" s="8" t="inlineStr">
        <is>
          <t>Two directly-connected LANs on the same router can reach each other, but neither can reach a third LAN one router further away.</t>
        </is>
      </c>
      <c r="D18" s="8" t="inlineStr">
        <is>
          <t>R1 has no route (static or dynamic) to the remote LAN C subnet 192.168.3.0/24; only directly connected networks appear in the routing table.</t>
        </is>
      </c>
      <c r="E18" s="8" t="inlineStr">
        <is>
          <t>Layer 3</t>
        </is>
      </c>
      <c r="F18" s="8" t="inlineStr">
        <is>
          <t>High</t>
        </is>
      </c>
    </row>
    <row r="19">
      <c r="A19" s="8" t="inlineStr">
        <is>
          <t>C018</t>
        </is>
      </c>
      <c r="B19" s="8" t="inlineStr">
        <is>
          <t>Routing</t>
        </is>
      </c>
      <c r="C19" s="8" t="inlineStr">
        <is>
          <t>A newly added remote branch subnet is unreachable from HQ, even though the branch router shows the interface up and its own LAN working fine.</t>
        </is>
      </c>
      <c r="D19" s="8" t="inlineStr">
        <is>
          <t>The static route to 192.168.99.0/24 points to next-hop 10.0.0.6, which is not a valid address on the 10.0.0.0/30 point-to-point link (valid host range is only 10.0.0.1-10.0.0.2); the next-hop is wrong so the route is unusable.</t>
        </is>
      </c>
      <c r="E19" s="8" t="inlineStr">
        <is>
          <t>Layer 3</t>
        </is>
      </c>
      <c r="F19" s="8" t="inlineStr">
        <is>
          <t>High</t>
        </is>
      </c>
    </row>
    <row r="20">
      <c r="A20" s="8" t="inlineStr">
        <is>
          <t>C019</t>
        </is>
      </c>
      <c r="B20" s="8" t="inlineStr">
        <is>
          <t>Routing</t>
        </is>
      </c>
      <c r="C20" s="8" t="inlineStr">
        <is>
          <t>OSPF-connected branch offices suddenly cannot reach HQ subnets; interfaces show up/up on both ends.</t>
        </is>
      </c>
      <c r="D20" s="8" t="inlineStr">
        <is>
          <t>R2 is advertising the shared link in OSPF area 1 while R1 advertises area 0 for the same network, an area mismatch that prevents the OSPF neighbor adjacency from forming, so no routes are exchanged.</t>
        </is>
      </c>
      <c r="E20" s="8" t="inlineStr">
        <is>
          <t>Layer 3</t>
        </is>
      </c>
      <c r="F20" s="8" t="inlineStr">
        <is>
          <t>Critical</t>
        </is>
      </c>
    </row>
    <row r="21">
      <c r="A21" s="8" t="inlineStr">
        <is>
          <t>C020</t>
        </is>
      </c>
      <c r="B21" s="8" t="inlineStr">
        <is>
          <t>Routing</t>
        </is>
      </c>
      <c r="C21" s="8" t="inlineStr">
        <is>
          <t>A PC can ping its own gateway and the router's other interfaces, but nothing beyond the router.</t>
        </is>
      </c>
      <c r="D21" s="8" t="inlineStr">
        <is>
          <t>The PC's subnet mask (/25, 255.255.255.128) does not match the router interface's /24 mask, so the PC calculates a different subnet boundary than the router expects, breaking routing decisions for traffic beyond the local segment.</t>
        </is>
      </c>
      <c r="E21" s="8" t="inlineStr">
        <is>
          <t>Layer 3</t>
        </is>
      </c>
      <c r="F21" s="8" t="inlineStr">
        <is>
          <t>Medium</t>
        </is>
      </c>
    </row>
    <row r="22">
      <c r="A22" s="8" t="inlineStr">
        <is>
          <t>C021</t>
        </is>
      </c>
      <c r="B22" s="8" t="inlineStr">
        <is>
          <t>ACL</t>
        </is>
      </c>
      <c r="C22" s="8" t="inlineStr">
        <is>
          <t>PCs in the Finance VLAN cannot reach the payroll server even though routing and DHCP are confirmed working.</t>
        </is>
      </c>
      <c r="D22" s="8" t="inlineStr">
        <is>
          <t>ACL entry 10 explicitly denies all traffic to the payroll server (192.168.50.10) before the permit-any statement is ever reached; the deny is matching and blocking legitimate Finance traffic.</t>
        </is>
      </c>
      <c r="E22" s="8" t="inlineStr">
        <is>
          <t>Layer 3/4</t>
        </is>
      </c>
      <c r="F22" s="8" t="inlineStr">
        <is>
          <t>High</t>
        </is>
      </c>
    </row>
    <row r="23">
      <c r="A23" s="8" t="inlineStr">
        <is>
          <t>C022</t>
        </is>
      </c>
      <c r="B23" s="8" t="inlineStr">
        <is>
          <t>ACL</t>
        </is>
      </c>
      <c r="C23" s="8" t="inlineStr">
        <is>
          <t>A newly added 'permit' rule for a new subnet doesn't seem to have any effect; traffic from that subnet is still blocked.</t>
        </is>
      </c>
      <c r="D23" s="8" t="inlineStr">
        <is>
          <t>Line 30, the new permit for 192.168.9.0/24, was appended after the 'deny ip any any' at line 20, which matches first and drops the traffic before the new permit is ever evaluated -- ACL entries are processed top-down and the implicit/explicit deny at line 20 short-circuits everything below it.</t>
        </is>
      </c>
      <c r="E23" s="8" t="inlineStr">
        <is>
          <t>Layer 3/4</t>
        </is>
      </c>
      <c r="F23" s="8" t="inlineStr">
        <is>
          <t>Medium</t>
        </is>
      </c>
    </row>
    <row r="24">
      <c r="A24" s="8" t="inlineStr">
        <is>
          <t>C023</t>
        </is>
      </c>
      <c r="B24" s="8" t="inlineStr">
        <is>
          <t>ACL</t>
        </is>
      </c>
      <c r="C24" s="8" t="inlineStr">
        <is>
          <t>Traffic from the internet reaches the internal server, but the server's replies never get back out.</t>
        </is>
      </c>
      <c r="D24" s="8" t="inlineStr">
        <is>
          <t>The same ACL (WAN-ACL), which only permits inbound port 80 to the server, is also applied outbound on the same interface, so return traffic and any other outbound flow from the server hits the implicit deny -- the ACL was applied in the wrong direction/duplicated.</t>
        </is>
      </c>
      <c r="E24" s="8" t="inlineStr">
        <is>
          <t>Layer 3/4</t>
        </is>
      </c>
      <c r="F24" s="8" t="inlineStr">
        <is>
          <t>High</t>
        </is>
      </c>
    </row>
    <row r="25">
      <c r="A25" s="8" t="inlineStr">
        <is>
          <t>C024</t>
        </is>
      </c>
      <c r="B25" s="8" t="inlineStr">
        <is>
          <t>ACL</t>
        </is>
      </c>
      <c r="C25" s="8" t="inlineStr">
        <is>
          <t>A site-to-site VPN tunnel is up, but no application traffic passes between the two sites; ICMP works fine.</t>
        </is>
      </c>
      <c r="D25" s="8" t="inlineStr">
        <is>
          <t>The ACL only explicitly permits ICMP; there is no permit statement for the application's TCP ports, so all non-ICMP traffic falls through to the deny-any and is blocked, while ping (ICMP) succeeds.</t>
        </is>
      </c>
      <c r="E25" s="8" t="inlineStr">
        <is>
          <t>Layer 3/4</t>
        </is>
      </c>
      <c r="F25" s="8" t="inlineStr">
        <is>
          <t>Medium</t>
        </is>
      </c>
    </row>
    <row r="26">
      <c r="A26" s="8" t="inlineStr">
        <is>
          <t>C025</t>
        </is>
      </c>
      <c r="B26" s="8" t="inlineStr">
        <is>
          <t>NAT</t>
        </is>
      </c>
      <c r="C26" s="8" t="inlineStr">
        <is>
          <t>Internal PCs can reach each other and the router, but nothing on the internet responds to their requests.</t>
        </is>
      </c>
      <c r="D26" s="8" t="inlineStr">
        <is>
          <t>Neither interface has been marked with 'ip nat inside' or 'ip nat outside', so NAT is not actually applied anywhere even if a NAT/PAT rule exists in the config -- private addresses are being sent unmodified to the internet and dropped upstream.</t>
        </is>
      </c>
      <c r="E26" s="8" t="inlineStr">
        <is>
          <t>Layer 3</t>
        </is>
      </c>
      <c r="F26" s="8" t="inlineStr">
        <is>
          <t>High</t>
        </is>
      </c>
    </row>
    <row r="27">
      <c r="A27" s="8" t="inlineStr">
        <is>
          <t>C026</t>
        </is>
      </c>
      <c r="B27" s="8" t="inlineStr">
        <is>
          <t>NAT</t>
        </is>
      </c>
      <c r="C27" s="8" t="inlineStr">
        <is>
          <t>Only one internal PC at a time can reach the internet; as soon as a second PC tries, the first one's session drops.</t>
        </is>
      </c>
      <c r="D27" s="8" t="inlineStr">
        <is>
          <t>The NAT pool contains only a single public address (203.0.113.5) and is not configured with the 'overload' keyword, so only one internal host can hold a translation at a time instead of allowing many-to-one port address translation.</t>
        </is>
      </c>
      <c r="E27" s="8" t="inlineStr">
        <is>
          <t>Layer 3/4</t>
        </is>
      </c>
      <c r="F27" s="8" t="inlineStr">
        <is>
          <t>Medium</t>
        </is>
      </c>
    </row>
    <row r="28">
      <c r="A28" s="8" t="inlineStr">
        <is>
          <t>C027</t>
        </is>
      </c>
      <c r="B28" s="8" t="inlineStr">
        <is>
          <t>NAT</t>
        </is>
      </c>
      <c r="C28" s="8" t="inlineStr">
        <is>
          <t>After a router interface re-cabling, internal users lost internet access even though the physical link and IP addressing are unchanged.</t>
        </is>
      </c>
      <c r="D28" s="8" t="inlineStr">
        <is>
          <t>The 'ip nat inside'/'ip nat outside' designations are reversed relative to the physical topology after the re-cabling -- the internal LAN interface is marked outside and the ISP-facing interface is marked inside, so NAT translation never triggers correctly.</t>
        </is>
      </c>
      <c r="E28" s="8" t="inlineStr">
        <is>
          <t>Layer 3</t>
        </is>
      </c>
      <c r="F28" s="8" t="inlineStr">
        <is>
          <t>High</t>
        </is>
      </c>
    </row>
    <row r="29">
      <c r="A29" s="8" t="inlineStr">
        <is>
          <t>C028</t>
        </is>
      </c>
      <c r="B29" s="8" t="inlineStr">
        <is>
          <t>Wireless</t>
        </is>
      </c>
      <c r="C29" s="8" t="inlineStr">
        <is>
          <t>Laptops repeatedly prompt for the Wi-Fi password and fail to connect to the corporate SSID.</t>
        </is>
      </c>
      <c r="D29" s="8" t="inlineStr">
        <is>
          <t>The passphrase configured on the AP ('CorpNetw0rk!') does not match the passphrase distributed to end users ('CorpNetwork!') -- a simple credential mismatch causing repeated authentication failures.</t>
        </is>
      </c>
      <c r="E29" s="8" t="inlineStr">
        <is>
          <t>Layer 2</t>
        </is>
      </c>
      <c r="F29" s="8" t="inlineStr">
        <is>
          <t>Low</t>
        </is>
      </c>
    </row>
    <row r="30">
      <c r="A30" s="8" t="inlineStr">
        <is>
          <t>C029</t>
        </is>
      </c>
      <c r="B30" s="8" t="inlineStr">
        <is>
          <t>Wireless</t>
        </is>
      </c>
      <c r="C30" s="8" t="inlineStr">
        <is>
          <t>Guest Wi-Fi users can successfully connect and get an IP address, but they can also reach internal file servers, which should be isolated.</t>
        </is>
      </c>
      <c r="D30" s="8" t="inlineStr">
        <is>
          <t>The Guest SSID is mapped to VLAN 10 (the internal/production VLAN) instead of the isolated Guest VLAN 30, so guest clients land on the same broadcast domain as internal servers -- this is a security-relevant misconfiguration, not a connectivity fault.</t>
        </is>
      </c>
      <c r="E30" s="8" t="inlineStr">
        <is>
          <t>Layer 2</t>
        </is>
      </c>
      <c r="F30" s="8" t="inlineStr">
        <is>
          <t>High</t>
        </is>
      </c>
    </row>
    <row r="31">
      <c r="A31" s="8" t="inlineStr">
        <is>
          <t>C030</t>
        </is>
      </c>
      <c r="B31" s="8" t="inlineStr">
        <is>
          <t>Wireless</t>
        </is>
      </c>
      <c r="C31" s="8" t="inlineStr">
        <is>
          <t>Wireless clients connect fine near the AP but constantly drop and struggle to reconnect at the far end of the office.</t>
        </is>
      </c>
      <c r="D31" s="8" t="inlineStr">
        <is>
          <t>AP1 and AP2 use the same 2.4GHz channel (6) in overlapping coverage areas, causing co-channel interference that degrades signal quality and connection stability at the cell edge -- an RF design issue rather than an authentication or VLAN fault.</t>
        </is>
      </c>
      <c r="E31" s="8" t="inlineStr">
        <is>
          <t>Layer 1/2</t>
        </is>
      </c>
      <c r="F31" s="8"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2" customWidth="1" min="3" max="3"/>
    <col width="14" customWidth="1" min="4" max="4"/>
    <col width="55" customWidth="1" min="5" max="5"/>
    <col width="55" customWidth="1" min="6" max="6"/>
  </cols>
  <sheetData>
    <row r="1">
      <c r="A1" s="7" t="inlineStr">
        <is>
          <t>case_id</t>
        </is>
      </c>
      <c r="B1" s="7" t="inlineStr">
        <is>
          <t>ai_root_cause</t>
        </is>
      </c>
      <c r="C1" s="7" t="inlineStr">
        <is>
          <t>ai_confidence</t>
        </is>
      </c>
      <c r="D1" s="7" t="inlineStr">
        <is>
          <t>human_verdict</t>
        </is>
      </c>
      <c r="E1" s="7" t="inlineStr">
        <is>
          <t>corrected_root_cause</t>
        </is>
      </c>
      <c r="F1" s="7" t="inlineStr">
        <is>
          <t>reviewer_notes</t>
        </is>
      </c>
    </row>
    <row r="2">
      <c r="A2" s="8" t="inlineStr">
        <is>
          <t>C001</t>
        </is>
      </c>
      <c r="B2" s="8" t="inlineStr">
        <is>
          <t>VLAN 10 is missing from the allowed-vlan list on the SW1 trunk (Gi0/1 allows 1-9,11-4094, excluding 10), so VLAN 10 traffic is dropped at the trunk.</t>
        </is>
      </c>
      <c r="C2" s="8" t="inlineStr">
        <is>
          <t>high</t>
        </is>
      </c>
      <c r="D2" s="8" t="inlineStr">
        <is>
          <t>Accepted</t>
        </is>
      </c>
      <c r="E2" s="8" t="inlineStr">
        <is>
          <t>VLAN 10 is missing from the allowed-vlan list on the SW1 trunk (Gi0/1 allows 1-9,11-4094, excluding 10), so VLAN 10 traffic is dropped at the trunk.</t>
        </is>
      </c>
      <c r="F2" s="8" t="inlineStr">
        <is>
          <t>AI diagnosis matched the evidence and known-correct root cause; approved as-is.</t>
        </is>
      </c>
    </row>
    <row r="3">
      <c r="A3" s="8" t="inlineStr">
        <is>
          <t>C002</t>
        </is>
      </c>
      <c r="B3" s="8" t="inlineStr">
        <is>
          <t>Fa0/3 was never assigned to VLAN 20; it is still sitting in the default VLAN 1, so the PC is on the wrong broadcast domain and cannot reach the VLAN 20 DHCP scope or gateway.</t>
        </is>
      </c>
      <c r="C3" s="8" t="inlineStr">
        <is>
          <t>high</t>
        </is>
      </c>
      <c r="D3" s="8" t="inlineStr">
        <is>
          <t>Accepted</t>
        </is>
      </c>
      <c r="E3" s="8" t="inlineStr">
        <is>
          <t>Fa0/3 was never assigned to VLAN 20; it is still sitting in the default VLAN 1, so the PC is on the wrong broadcast domain and cannot reach the VLAN 20 DHCP scope or gateway.</t>
        </is>
      </c>
      <c r="F3" s="8" t="inlineStr">
        <is>
          <t>AI diagnosis matched the evidence and known-correct root cause; approved as-is.</t>
        </is>
      </c>
    </row>
    <row r="4">
      <c r="A4" s="8" t="inlineStr">
        <is>
          <t>C003</t>
        </is>
      </c>
      <c r="B4" s="8" t="inlineStr">
        <is>
          <t>Core switch's native VLAN (1) is misconfigured and should be changed to match SW1.</t>
        </is>
      </c>
      <c r="C4" s="8" t="inlineStr">
        <is>
          <t>medium</t>
        </is>
      </c>
      <c r="D4" s="8" t="inlineStr">
        <is>
          <t>Edited</t>
        </is>
      </c>
      <c r="E4" s="8" t="inlineStr">
        <is>
          <t>Native VLAN mismatch on the trunk: SW1 uses native VLAN 15 while the core switch uses native VLAN 1, causing VLAN leaking/tag corruption for untagged frames.</t>
        </is>
      </c>
      <c r="F4" s="8" t="inlineStr">
        <is>
          <t>AI assumed the core switch's native VLAN was the misconfigured side. Design docs confirm SW1's uplink should use native VLAN 1 to match the rest of the campus trunk standard, so SW1 (native vlan 15) is actually the outlier. Corrected which side to change.</t>
        </is>
      </c>
    </row>
    <row r="5">
      <c r="A5" s="8" t="inlineStr">
        <is>
          <t>C004</t>
        </is>
      </c>
      <c r="B5" s="8" t="inlineStr">
        <is>
          <t>Switchport Fa0/8 is misconfigured in the wrong VLAN, blocking the PC from the Guest network.</t>
        </is>
      </c>
      <c r="C5" s="8" t="inlineStr">
        <is>
          <t>high</t>
        </is>
      </c>
      <c r="D5" s="8" t="inlineStr">
        <is>
          <t>Edited</t>
        </is>
      </c>
      <c r="E5" s="8" t="inlineStr">
        <is>
          <t>The port is correctly in VLAN 30, but the PC never released/renewed its old VLAN 10 (192.168.10.x) DHCP lease, so a stale lease is the likely cause rather than a switchport misconfig -- confirm with 'ipconfig /release &amp;&amp; ipconfig /renew' before assuming a VLAN fault.</t>
        </is>
      </c>
      <c r="F5" s="8" t="inlineStr">
        <is>
          <t>AI blamed the switchport VLAN, but the port was already correctly in VLAN 30 per 'show vlan brief'. The real cause is a stale DHCP lease from the PC's previous VLAN 10 membership. Corrected root_cause and fix_steps to release/renew the lease instead of touching the switchport.</t>
        </is>
      </c>
    </row>
    <row r="6">
      <c r="A6" s="8" t="inlineStr">
        <is>
          <t>C005</t>
        </is>
      </c>
      <c r="B6" s="8" t="inlineStr">
        <is>
          <t>Default gateway configured on the PC (192.168.1.254) does not match the router's actual interface IP (192.168.1.1); the PC is pointing at a nonexistent gateway.</t>
        </is>
      </c>
      <c r="C6" s="8" t="inlineStr">
        <is>
          <t>high</t>
        </is>
      </c>
      <c r="D6" s="8" t="inlineStr">
        <is>
          <t>Accepted</t>
        </is>
      </c>
      <c r="E6" s="8" t="inlineStr">
        <is>
          <t>Default gateway configured on the PC (192.168.1.254) does not match the router's actual interface IP (192.168.1.1); the PC is pointing at a nonexistent gateway.</t>
        </is>
      </c>
      <c r="F6" s="8" t="inlineStr">
        <is>
          <t>AI diagnosis matched the evidence and known-correct root cause; approved as-is.</t>
        </is>
      </c>
    </row>
    <row r="7">
      <c r="A7" s="8" t="inlineStr">
        <is>
          <t>C006</t>
        </is>
      </c>
      <c r="B7" s="8" t="inlineStr">
        <is>
          <t>Subinterface G0/1.40, which acts as the VLAN 40 gateway, is administratively shut down.</t>
        </is>
      </c>
      <c r="C7" s="8" t="inlineStr">
        <is>
          <t>high</t>
        </is>
      </c>
      <c r="D7" s="8" t="inlineStr">
        <is>
          <t>Accepted</t>
        </is>
      </c>
      <c r="E7" s="8" t="inlineStr">
        <is>
          <t>Subinterface G0/1.40, which acts as the VLAN 40 gateway, is administratively shut down.</t>
        </is>
      </c>
      <c r="F7" s="8" t="inlineStr">
        <is>
          <t>AI diagnosis matched the evidence and known-correct root cause; approved as-is.</t>
        </is>
      </c>
    </row>
    <row r="8">
      <c r="A8" s="8" t="inlineStr">
        <is>
          <t>C007</t>
        </is>
      </c>
      <c r="B8" s="8" t="inlineStr">
        <is>
          <t>PC-B has the wrong default gateway (192.168.5.2) manually configured; 192.168.5.1 is the real router interface, so PC-B's traffic to other subnets has nowhere to go.</t>
        </is>
      </c>
      <c r="C8" s="8" t="inlineStr">
        <is>
          <t>high</t>
        </is>
      </c>
      <c r="D8" s="8" t="inlineStr">
        <is>
          <t>Accepted</t>
        </is>
      </c>
      <c r="E8" s="8" t="inlineStr">
        <is>
          <t>PC-B has the wrong default gateway (192.168.5.2) manually configured; 192.168.5.1 is the real router interface, so PC-B's traffic to other subnets has nowhere to go.</t>
        </is>
      </c>
      <c r="F8" s="8" t="inlineStr">
        <is>
          <t>AI diagnosis matched the evidence and known-correct root cause; approved as-is.</t>
        </is>
      </c>
    </row>
    <row r="9">
      <c r="A9" s="8" t="inlineStr">
        <is>
          <t>C008</t>
        </is>
      </c>
      <c r="B9" s="8" t="inlineStr">
        <is>
          <t>The router interface itself is fine, but the switch port connecting the router to VLAN 5 was provisioned in VLAN 1 on the replacement switch, isolating the gateway from the rest of VLAN 5 -- a VLAN issue masquerading as a gateway issue.</t>
        </is>
      </c>
      <c r="C9" s="8" t="inlineStr">
        <is>
          <t>high</t>
        </is>
      </c>
      <c r="D9" s="8" t="inlineStr">
        <is>
          <t>Accepted</t>
        </is>
      </c>
      <c r="E9" s="8" t="inlineStr">
        <is>
          <t>The router interface itself is fine, but the switch port connecting the router to VLAN 5 was provisioned in VLAN 1 on the replacement switch, isolating the gateway from the rest of VLAN 5 -- a VLAN issue masquerading as a gateway issue.</t>
        </is>
      </c>
      <c r="F9" s="8" t="inlineStr">
        <is>
          <t>AI diagnosis matched the evidence and known-correct root cause; approved as-is.</t>
        </is>
      </c>
    </row>
    <row r="10">
      <c r="A10" s="8" t="inlineStr">
        <is>
          <t>C009</t>
        </is>
      </c>
      <c r="B10" s="8" t="inlineStr">
        <is>
          <t>DHCP pool SALES is fully exhausted (254 leased of 254 total addresses), so new clients cannot obtain a lease.</t>
        </is>
      </c>
      <c r="C10" s="8" t="inlineStr">
        <is>
          <t>high</t>
        </is>
      </c>
      <c r="D10" s="8" t="inlineStr">
        <is>
          <t>Accepted</t>
        </is>
      </c>
      <c r="E10" s="8" t="inlineStr">
        <is>
          <t>DHCP pool SALES is fully exhausted (254 leased of 254 total addresses), so new clients cannot obtain a lease.</t>
        </is>
      </c>
      <c r="F10" s="8" t="inlineStr">
        <is>
          <t>AI diagnosis matched the evidence and known-correct root cause; approved as-is.</t>
        </is>
      </c>
    </row>
    <row r="11">
      <c r="A11" s="8" t="inlineStr">
        <is>
          <t>C010</t>
        </is>
      </c>
      <c r="B11" s="8" t="inlineStr">
        <is>
          <t>The DHCP pool is configured with a /25 mask (255.255.255.128) instead of the intended /24, so some clients receive addresses in the second /25 half (192.168.20.130) that cannot reach hosts or the gateway in the first half.</t>
        </is>
      </c>
      <c r="C11" s="8" t="inlineStr">
        <is>
          <t>high</t>
        </is>
      </c>
      <c r="D11" s="8" t="inlineStr">
        <is>
          <t>Accepted</t>
        </is>
      </c>
      <c r="E11" s="8" t="inlineStr">
        <is>
          <t>The DHCP pool is configured with a /25 mask (255.255.255.128) instead of the intended /24, so some clients receive addresses in the second /25 half (192.168.20.130) that cannot reach hosts or the gateway in the first half.</t>
        </is>
      </c>
      <c r="F11" s="8" t="inlineStr">
        <is>
          <t>AI diagnosis matched the evidence and known-correct root cause; approved as-is.</t>
        </is>
      </c>
    </row>
    <row r="12">
      <c r="A12" s="8" t="inlineStr">
        <is>
          <t>C011</t>
        </is>
      </c>
      <c r="B12" s="8" t="inlineStr">
        <is>
          <t>No 'ip helper-address' is configured on the VLAN 50 interface, so DHCP broadcasts from that subnet are never relayed to the central DHCP server across the router boundary.</t>
        </is>
      </c>
      <c r="C12" s="8" t="inlineStr">
        <is>
          <t>high</t>
        </is>
      </c>
      <c r="D12" s="8" t="inlineStr">
        <is>
          <t>Accepted</t>
        </is>
      </c>
      <c r="E12" s="8" t="inlineStr">
        <is>
          <t>No 'ip helper-address' is configured on the VLAN 50 interface, so DHCP broadcasts from that subnet are never relayed to the central DHCP server across the router boundary.</t>
        </is>
      </c>
      <c r="F12" s="8" t="inlineStr">
        <is>
          <t>AI diagnosis matched the evidence and known-correct root cause; approved as-is.</t>
        </is>
      </c>
    </row>
    <row r="13">
      <c r="A13" s="8" t="inlineStr">
        <is>
          <t>C012</t>
        </is>
      </c>
      <c r="B13" s="8" t="inlineStr">
        <is>
          <t>The excluded-address range only covers 192.168.30.1-10; the printer range 192.168.30.240-250 was never excluded, so the DHCP pool is free to lease those addresses to any client.</t>
        </is>
      </c>
      <c r="C13" s="8" t="inlineStr">
        <is>
          <t>high</t>
        </is>
      </c>
      <c r="D13" s="8" t="inlineStr">
        <is>
          <t>Accepted</t>
        </is>
      </c>
      <c r="E13" s="8" t="inlineStr">
        <is>
          <t>The excluded-address range only covers 192.168.30.1-10; the printer range 192.168.30.240-250 was never excluded, so the DHCP pool is free to lease those addresses to any client.</t>
        </is>
      </c>
      <c r="F13" s="8" t="inlineStr">
        <is>
          <t>AI diagnosis matched the evidence and known-correct root cause; approved as-is.</t>
        </is>
      </c>
    </row>
    <row r="14">
      <c r="A14" s="8" t="inlineStr">
        <is>
          <t>C013</t>
        </is>
      </c>
      <c r="B14" s="8" t="inlineStr">
        <is>
          <t>The configured DNS server (172.16.1.99) does not respond to ping/queries -- it is either the wrong address or the DNS service is down; name resolution fails while IP connectivity works fine (classic Layer 7 symptom on top of working Layer 3).</t>
        </is>
      </c>
      <c r="C14" s="8" t="inlineStr">
        <is>
          <t>high</t>
        </is>
      </c>
      <c r="D14" s="8" t="inlineStr">
        <is>
          <t>Accepted</t>
        </is>
      </c>
      <c r="E14" s="8" t="inlineStr">
        <is>
          <t>The configured DNS server (172.16.1.99) does not respond to ping/queries -- it is either the wrong address or the DNS service is down; name resolution fails while IP connectivity works fine (classic Layer 7 symptom on top of working Layer 3).</t>
        </is>
      </c>
      <c r="F14" s="8" t="inlineStr">
        <is>
          <t>AI diagnosis matched the evidence and known-correct root cause; approved as-is.</t>
        </is>
      </c>
    </row>
    <row r="15">
      <c r="A15" s="8" t="inlineStr">
        <is>
          <t>C014</t>
        </is>
      </c>
      <c r="B15" s="8" t="inlineStr">
        <is>
          <t>The internal DNS server has no forwarder configured for external queries, so it can resolve internal records but returns NXDOMAIN for anything outside its own zone.</t>
        </is>
      </c>
      <c r="C15" s="8" t="inlineStr">
        <is>
          <t>high</t>
        </is>
      </c>
      <c r="D15" s="8" t="inlineStr">
        <is>
          <t>Accepted</t>
        </is>
      </c>
      <c r="E15" s="8" t="inlineStr">
        <is>
          <t>The internal DNS server has no forwarder configured for external queries, so it can resolve internal records but returns NXDOMAIN for anything outside its own zone.</t>
        </is>
      </c>
      <c r="F15" s="8" t="inlineStr">
        <is>
          <t>AI diagnosis matched the evidence and known-correct root cause; approved as-is.</t>
        </is>
      </c>
    </row>
    <row r="16">
      <c r="A16" s="8" t="inlineStr">
        <is>
          <t>C015</t>
        </is>
      </c>
      <c r="B16" s="8" t="inlineStr">
        <is>
          <t>The DNS A record for intranet.company.local still points to the old server IP (10.1.1.50) instead of the migrated server (10.1.1.80); the record was never updated after the migration.</t>
        </is>
      </c>
      <c r="C16" s="8" t="inlineStr">
        <is>
          <t>high</t>
        </is>
      </c>
      <c r="D16" s="8" t="inlineStr">
        <is>
          <t>Accepted</t>
        </is>
      </c>
      <c r="E16" s="8" t="inlineStr">
        <is>
          <t>The DNS A record for intranet.company.local still points to the old server IP (10.1.1.50) instead of the migrated server (10.1.1.80); the record was never updated after the migration.</t>
        </is>
      </c>
      <c r="F16" s="8" t="inlineStr">
        <is>
          <t>AI diagnosis matched the evidence and known-correct root cause; approved as-is.</t>
        </is>
      </c>
    </row>
    <row r="17">
      <c r="A17" s="8" t="inlineStr">
        <is>
          <t>C016</t>
        </is>
      </c>
      <c r="B17" s="8" t="inlineStr">
        <is>
          <t>DNS server 10.10.1.11 is down or unreachable, causing resolution failures for PC-B.</t>
        </is>
      </c>
      <c r="C17" s="8" t="inlineStr">
        <is>
          <t>medium</t>
        </is>
      </c>
      <c r="D17" s="8" t="inlineStr">
        <is>
          <t>Edited</t>
        </is>
      </c>
      <c r="E17" s="8" t="inlineStr">
        <is>
          <t>PC-B is pointed at 10.10.1.11, a DNS server that is not authoritative for (and has no record of) the internal zone, while PC-A's server 10.10.1.10 does -- inconsistent client DNS configuration, not a server-wide outage.</t>
        </is>
      </c>
      <c r="F17" s="8" t="inlineStr">
        <is>
          <t>AI assumed the DNS server was down. It's actually reachable but simply not authoritative for the internal zone -- PC-B is pointed at the wrong DNS server, not a broken one. Corrected root_cause; restarting a healthy DNS service would not have fixed anything.</t>
        </is>
      </c>
    </row>
    <row r="18">
      <c r="A18" s="8" t="inlineStr">
        <is>
          <t>C017</t>
        </is>
      </c>
      <c r="B18" s="8" t="inlineStr">
        <is>
          <t>R1 has no route (static or dynamic) to the remote LAN C subnet 192.168.3.0/24; only directly connected networks appear in the routing table.</t>
        </is>
      </c>
      <c r="C18" s="8" t="inlineStr">
        <is>
          <t>high</t>
        </is>
      </c>
      <c r="D18" s="8" t="inlineStr">
        <is>
          <t>Accepted</t>
        </is>
      </c>
      <c r="E18" s="8" t="inlineStr">
        <is>
          <t>R1 has no route (static or dynamic) to the remote LAN C subnet 192.168.3.0/24; only directly connected networks appear in the routing table.</t>
        </is>
      </c>
      <c r="F18" s="8" t="inlineStr">
        <is>
          <t>AI diagnosis matched the evidence and known-correct root cause; approved as-is.</t>
        </is>
      </c>
    </row>
    <row r="19">
      <c r="A19" s="8" t="inlineStr">
        <is>
          <t>C018</t>
        </is>
      </c>
      <c r="B19" s="8" t="inlineStr">
        <is>
          <t>HQ router R1 is missing a route to the branch subnet 192.168.99.0/24.</t>
        </is>
      </c>
      <c r="C19" s="8" t="inlineStr">
        <is>
          <t>medium</t>
        </is>
      </c>
      <c r="D19" s="8" t="inlineStr">
        <is>
          <t>Edited</t>
        </is>
      </c>
      <c r="E19" s="8" t="inlineStr">
        <is>
          <t>The static route to 192.168.99.0/24 points to next-hop 10.0.0.6, which is not a valid address on the 10.0.0.0/30 point-to-point link (valid host range is only 10.0.0.1-10.0.0.2); the next-hop is wrong so the route is unusable.</t>
        </is>
      </c>
      <c r="F19" s="8" t="inlineStr">
        <is>
          <t>AI said the route was 'missing' when show ip route clearly lists a static route -- it exists but points at an invalid next-hop outside the /30 subnet. Corrected root_cause from 'missing route' to 'wrong next-hop on existing static route' and updated fix_steps to correct the next-hop instead of adding a duplicate route.</t>
        </is>
      </c>
    </row>
    <row r="20">
      <c r="A20" s="8" t="inlineStr">
        <is>
          <t>C019</t>
        </is>
      </c>
      <c r="B20" s="8" t="inlineStr">
        <is>
          <t>R2 is advertising the shared link in OSPF area 1 while R1 advertises area 0 for the same network, an area mismatch that prevents the OSPF neighbor adjacency from forming, so no routes are exchanged.</t>
        </is>
      </c>
      <c r="C20" s="8" t="inlineStr">
        <is>
          <t>high</t>
        </is>
      </c>
      <c r="D20" s="8" t="inlineStr">
        <is>
          <t>Accepted</t>
        </is>
      </c>
      <c r="E20" s="8" t="inlineStr">
        <is>
          <t>R2 is advertising the shared link in OSPF area 1 while R1 advertises area 0 for the same network, an area mismatch that prevents the OSPF neighbor adjacency from forming, so no routes are exchanged.</t>
        </is>
      </c>
      <c r="F20" s="8" t="inlineStr">
        <is>
          <t>AI diagnosis matched the evidence and known-correct root cause; approved as-is.</t>
        </is>
      </c>
    </row>
    <row r="21">
      <c r="A21" s="8" t="inlineStr">
        <is>
          <t>C020</t>
        </is>
      </c>
      <c r="B21" s="8" t="inlineStr">
        <is>
          <t>The PC's subnet mask (/25, 255.255.255.128) does not match the router interface's /24 mask, so the PC calculates a different subnet boundary than the router expects, breaking routing decisions for traffic beyond the local segment.</t>
        </is>
      </c>
      <c r="C21" s="8" t="inlineStr">
        <is>
          <t>high</t>
        </is>
      </c>
      <c r="D21" s="8" t="inlineStr">
        <is>
          <t>Accepted</t>
        </is>
      </c>
      <c r="E21" s="8" t="inlineStr">
        <is>
          <t>The PC's subnet mask (/25, 255.255.255.128) does not match the router interface's /24 mask, so the PC calculates a different subnet boundary than the router expects, breaking routing decisions for traffic beyond the local segment.</t>
        </is>
      </c>
      <c r="F21" s="8" t="inlineStr">
        <is>
          <t>AI diagnosis matched the evidence and known-correct root cause; approved as-is.</t>
        </is>
      </c>
    </row>
    <row r="22">
      <c r="A22" s="8" t="inlineStr">
        <is>
          <t>C021</t>
        </is>
      </c>
      <c r="B22" s="8" t="inlineStr">
        <is>
          <t>ACL entry 10 explicitly denies all traffic to the payroll server (192.168.50.10) before the permit-any statement is ever reached; the deny is matching and blocking legitimate Finance traffic.</t>
        </is>
      </c>
      <c r="C22" s="8" t="inlineStr">
        <is>
          <t>high</t>
        </is>
      </c>
      <c r="D22" s="8" t="inlineStr">
        <is>
          <t>Accepted</t>
        </is>
      </c>
      <c r="E22" s="8" t="inlineStr">
        <is>
          <t>ACL entry 10 explicitly denies all traffic to the payroll server (192.168.50.10) before the permit-any statement is ever reached; the deny is matching and blocking legitimate Finance traffic.</t>
        </is>
      </c>
      <c r="F22" s="8" t="inlineStr">
        <is>
          <t>AI diagnosis matched the evidence and known-correct root cause; approved as-is.</t>
        </is>
      </c>
    </row>
    <row r="23">
      <c r="A23" s="8" t="inlineStr">
        <is>
          <t>C022</t>
        </is>
      </c>
      <c r="B23" s="8" t="inlineStr">
        <is>
          <t>Line 30, the new permit for 192.168.9.0/24, was appended after the 'deny ip any any' at line 20, which matches first and drops the traffic before the new permit is ever evaluated -- ACL entries are processed top-down and the implicit/explicit deny at line 20 short-circuits everything below it.</t>
        </is>
      </c>
      <c r="C23" s="8" t="inlineStr">
        <is>
          <t>high</t>
        </is>
      </c>
      <c r="D23" s="8" t="inlineStr">
        <is>
          <t>Accepted</t>
        </is>
      </c>
      <c r="E23" s="8" t="inlineStr">
        <is>
          <t>Line 30, the new permit for 192.168.9.0/24, was appended after the 'deny ip any any' at line 20, which matches first and drops the traffic before the new permit is ever evaluated -- ACL entries are processed top-down and the implicit/explicit deny at line 20 short-circuits everything below it.</t>
        </is>
      </c>
      <c r="F23" s="8" t="inlineStr">
        <is>
          <t>AI diagnosis matched the evidence and known-correct root cause; approved as-is.</t>
        </is>
      </c>
    </row>
    <row r="24">
      <c r="A24" s="8" t="inlineStr">
        <is>
          <t>C023</t>
        </is>
      </c>
      <c r="B24" s="8" t="inlineStr">
        <is>
          <t>WAN-ACL is missing a permit statement for return traffic from the internal server.</t>
        </is>
      </c>
      <c r="C24" s="8" t="inlineStr">
        <is>
          <t>medium</t>
        </is>
      </c>
      <c r="D24" s="8" t="inlineStr">
        <is>
          <t>Rejected</t>
        </is>
      </c>
      <c r="E24" s="8" t="inlineStr">
        <is>
          <t>The same ACL (WAN-ACL), which only permits inbound port 80 to the server, is also applied outbound on the same interface, so return traffic and any other outbound flow from the server hits the implicit deny -- the ACL was applied in the wrong direction/duplicated.</t>
        </is>
      </c>
      <c r="F24" s="8" t="inlineStr">
        <is>
          <t>AI's 'missing permit' theory is wrong -- the real problem is the same ACL applied in both the in and out direction on one interface, so return traffic hits the implicit deny regardless of permit lines. Rewrote root_cause and fix_steps to remove the erroneous outbound ACL application.</t>
        </is>
      </c>
    </row>
    <row r="25">
      <c r="A25" s="8" t="inlineStr">
        <is>
          <t>C024</t>
        </is>
      </c>
      <c r="B25" s="8" t="inlineStr">
        <is>
          <t>The ACL only explicitly permits ICMP; there is no permit statement for the application's TCP ports, so all non-ICMP traffic falls through to the deny-any and is blocked, while ping (ICMP) succeeds.</t>
        </is>
      </c>
      <c r="C25" s="8" t="inlineStr">
        <is>
          <t>high</t>
        </is>
      </c>
      <c r="D25" s="8" t="inlineStr">
        <is>
          <t>Accepted</t>
        </is>
      </c>
      <c r="E25" s="8" t="inlineStr">
        <is>
          <t>The ACL only explicitly permits ICMP; there is no permit statement for the application's TCP ports, so all non-ICMP traffic falls through to the deny-any and is blocked, while ping (ICMP) succeeds.</t>
        </is>
      </c>
      <c r="F25" s="8" t="inlineStr">
        <is>
          <t>AI diagnosis matched the evidence and known-correct root cause; approved as-is.</t>
        </is>
      </c>
    </row>
    <row r="26">
      <c r="A26" s="8" t="inlineStr">
        <is>
          <t>C025</t>
        </is>
      </c>
      <c r="B26" s="8" t="inlineStr">
        <is>
          <t>Neither interface has been marked with 'ip nat inside' or 'ip nat outside', so NAT is not actually applied anywhere even if a NAT/PAT rule exists in the config -- private addresses are being sent unmodified to the internet and dropped upstream.</t>
        </is>
      </c>
      <c r="C26" s="8" t="inlineStr">
        <is>
          <t>high</t>
        </is>
      </c>
      <c r="D26" s="8" t="inlineStr">
        <is>
          <t>Accepted</t>
        </is>
      </c>
      <c r="E26" s="8" t="inlineStr">
        <is>
          <t>Neither interface has been marked with 'ip nat inside' or 'ip nat outside', so NAT is not actually applied anywhere even if a NAT/PAT rule exists in the config -- private addresses are being sent unmodified to the internet and dropped upstream.</t>
        </is>
      </c>
      <c r="F26" s="8" t="inlineStr">
        <is>
          <t>AI diagnosis matched the evidence and known-correct root cause; approved as-is.</t>
        </is>
      </c>
    </row>
    <row r="27">
      <c r="A27" s="8" t="inlineStr">
        <is>
          <t>C026</t>
        </is>
      </c>
      <c r="B27" s="8" t="inlineStr">
        <is>
          <t>The NAT pool contains only a single public address (203.0.113.5) and is not configured with the 'overload' keyword, so only one internal host can hold a translation at a time instead of allowing many-to-one port address translation.</t>
        </is>
      </c>
      <c r="C27" s="8" t="inlineStr">
        <is>
          <t>high</t>
        </is>
      </c>
      <c r="D27" s="8" t="inlineStr">
        <is>
          <t>Accepted</t>
        </is>
      </c>
      <c r="E27" s="8" t="inlineStr">
        <is>
          <t>The NAT pool contains only a single public address (203.0.113.5) and is not configured with the 'overload' keyword, so only one internal host can hold a translation at a time instead of allowing many-to-one port address translation.</t>
        </is>
      </c>
      <c r="F27" s="8" t="inlineStr">
        <is>
          <t>AI diagnosis matched the evidence and known-correct root cause; approved as-is.</t>
        </is>
      </c>
    </row>
    <row r="28">
      <c r="A28" s="8" t="inlineStr">
        <is>
          <t>C027</t>
        </is>
      </c>
      <c r="B28" s="8" t="inlineStr">
        <is>
          <t>The 'ip nat inside'/'ip nat outside' designations are reversed relative to the physical topology after the re-cabling -- the internal LAN interface is marked outside and the ISP-facing interface is marked inside, so NAT translation never triggers correctly.</t>
        </is>
      </c>
      <c r="C28" s="8" t="inlineStr">
        <is>
          <t>high</t>
        </is>
      </c>
      <c r="D28" s="8" t="inlineStr">
        <is>
          <t>Accepted</t>
        </is>
      </c>
      <c r="E28" s="8" t="inlineStr">
        <is>
          <t>The 'ip nat inside'/'ip nat outside' designations are reversed relative to the physical topology after the re-cabling -- the internal LAN interface is marked outside and the ISP-facing interface is marked inside, so NAT translation never triggers correctly.</t>
        </is>
      </c>
      <c r="F28" s="8" t="inlineStr">
        <is>
          <t>AI diagnosis matched the evidence and known-correct root cause; approved as-is.</t>
        </is>
      </c>
    </row>
    <row r="29">
      <c r="A29" s="8" t="inlineStr">
        <is>
          <t>C028</t>
        </is>
      </c>
      <c r="B29" s="8" t="inlineStr">
        <is>
          <t>The passphrase configured on the AP ('CorpNetw0rk!') does not match the passphrase distributed to end users ('CorpNetwork!') -- a simple credential mismatch causing repeated authentication failures.</t>
        </is>
      </c>
      <c r="C29" s="8" t="inlineStr">
        <is>
          <t>high</t>
        </is>
      </c>
      <c r="D29" s="8" t="inlineStr">
        <is>
          <t>Accepted</t>
        </is>
      </c>
      <c r="E29" s="8" t="inlineStr">
        <is>
          <t>The passphrase configured on the AP ('CorpNetw0rk!') does not match the passphrase distributed to end users ('CorpNetwork!') -- a simple credential mismatch causing repeated authentication failures.</t>
        </is>
      </c>
      <c r="F29" s="8" t="inlineStr">
        <is>
          <t>AI diagnosis matched the evidence and known-correct root cause; approved as-is.</t>
        </is>
      </c>
    </row>
    <row r="30">
      <c r="A30" s="8" t="inlineStr">
        <is>
          <t>C029</t>
        </is>
      </c>
      <c r="B30" s="8" t="inlineStr">
        <is>
          <t>Guest Wi-Fi clients are experiencing a minor connectivity misconfiguration on VLAN mapping.</t>
        </is>
      </c>
      <c r="C30" s="8" t="inlineStr">
        <is>
          <t>low</t>
        </is>
      </c>
      <c r="D30" s="8" t="inlineStr">
        <is>
          <t>Edited</t>
        </is>
      </c>
      <c r="E30" s="8" t="inlineStr">
        <is>
          <t>The Guest SSID is mapped to VLAN 10 (the internal/production VLAN) instead of the isolated Guest VLAN 30, so guest clients land on the same broadcast domain as internal servers -- this is a security-relevant misconfiguration, not a connectivity fault.</t>
        </is>
      </c>
      <c r="F30" s="8" t="inlineStr">
        <is>
          <t>AI under-classified this as a 'minor connectivity misconfiguration' at low confidence. It's a security-relevant VLAN isolation failure (guest traffic reaching internal VLAN 10) and should be flagged High severity, not treated as a generic Wi-Fi glitch. Corrected confidence to high and added a security note to fix_steps.</t>
        </is>
      </c>
    </row>
    <row r="31">
      <c r="A31" s="8" t="inlineStr">
        <is>
          <t>C030</t>
        </is>
      </c>
      <c r="B31" s="8" t="inlineStr">
        <is>
          <t>AP1 and AP2 use the same 2.4GHz channel (6) in overlapping coverage areas, causing co-channel interference that degrades signal quality and connection stability at the cell edge -- an RF design issue rather than an authentication or VLAN fault.</t>
        </is>
      </c>
      <c r="C31" s="8" t="inlineStr">
        <is>
          <t>high</t>
        </is>
      </c>
      <c r="D31" s="8" t="inlineStr">
        <is>
          <t>Accepted</t>
        </is>
      </c>
      <c r="E31" s="8" t="inlineStr">
        <is>
          <t>AP1 and AP2 use the same 2.4GHz channel (6) in overlapping coverage areas, causing co-channel interference that degrades signal quality and connection stability at the cell edge -- an RF design issue rather than an authentication or VLAN fault.</t>
        </is>
      </c>
      <c r="F31" s="8" t="inlineStr">
        <is>
          <t>AI diagnosis matched the evidence and known-correct root cause; approved 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2026-08-28T13:11:22Z</dcterms:created>
  <dcterms:modified xmlns:dcterms="http://purl.org/dc/terms/" xmlns:xsi="http://www.w3.org/2001/XMLSchema-instance" xsi:type="dcterms:W3CDTF">2026-08-28T13:11:22Z</dcterms:modified>
</cp:coreProperties>
</file>